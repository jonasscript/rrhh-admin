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ZO" sheetId="1" r:id="rId4"/>
    <sheet state="visible" name="MAR" sheetId="2" r:id="rId5"/>
  </sheets>
  <definedNames/>
  <calcPr/>
  <extLst>
    <ext uri="GoogleSheetsCustomDataVersion2">
      <go:sheetsCustomData xmlns:go="http://customooxmlschemas.google.com/" r:id="rId6" roundtripDataChecksum="15NBKeU726/EUMR0l78wz4QKWkYB4URGiSUBBUWC+EY="/>
    </ext>
  </extLst>
</workbook>
</file>

<file path=xl/sharedStrings.xml><?xml version="1.0" encoding="utf-8"?>
<sst xmlns="http://schemas.openxmlformats.org/spreadsheetml/2006/main" count="94" uniqueCount="88">
  <si>
    <t>ALICUOTAS DE MARZO 2026</t>
  </si>
  <si>
    <t>LECTURA</t>
  </si>
  <si>
    <t>AGUA</t>
  </si>
  <si>
    <t>DPTO:</t>
  </si>
  <si>
    <t>NOMBRES</t>
  </si>
  <si>
    <t>CUOTAS</t>
  </si>
  <si>
    <t>VALOR</t>
  </si>
  <si>
    <t>ANTERIOR</t>
  </si>
  <si>
    <t>ACTUAL</t>
  </si>
  <si>
    <t>T.A PAGAR</t>
  </si>
  <si>
    <t>LOCAL</t>
  </si>
  <si>
    <t>SR. EDUARDO DELGADO</t>
  </si>
  <si>
    <t>1-A</t>
  </si>
  <si>
    <t>LCDO. CARLOS ARMANZA</t>
  </si>
  <si>
    <t>1-B</t>
  </si>
  <si>
    <t>HNOS. PALACIOS PALACIOS</t>
  </si>
  <si>
    <t>1-C</t>
  </si>
  <si>
    <t>SR. JORGE TERREROS</t>
  </si>
  <si>
    <t>2-A</t>
  </si>
  <si>
    <t>ING. CHAFFICK CHEDRAUI</t>
  </si>
  <si>
    <t>2-C</t>
  </si>
  <si>
    <t>2-B</t>
  </si>
  <si>
    <t>ARQ. RAUL GOMEZ</t>
  </si>
  <si>
    <t>3-A</t>
  </si>
  <si>
    <t>ECO. KATYA CHAVEZ E HIJOS</t>
  </si>
  <si>
    <t>3-B</t>
  </si>
  <si>
    <t>SR. WILSON TOBAR  HIDALGO</t>
  </si>
  <si>
    <t>3-C</t>
  </si>
  <si>
    <t>DR. ALFONSO LOAYZA</t>
  </si>
  <si>
    <t>3-D</t>
  </si>
  <si>
    <t>SR. MANUEL SERRANO</t>
  </si>
  <si>
    <t>4-A</t>
  </si>
  <si>
    <t>FAM. SALAMEA CORDERO</t>
  </si>
  <si>
    <t>4-B</t>
  </si>
  <si>
    <t xml:space="preserve">ING. EDUARDO VELEZ </t>
  </si>
  <si>
    <t>4-C</t>
  </si>
  <si>
    <t>AB. GUSTAVO LOOR</t>
  </si>
  <si>
    <t>4-D</t>
  </si>
  <si>
    <t>AB. NATACHA ROURA DE HOHEB</t>
  </si>
  <si>
    <t>5-A</t>
  </si>
  <si>
    <t>SR. TEODORO ANDRADE</t>
  </si>
  <si>
    <t>5-B</t>
  </si>
  <si>
    <t>ING. GALO SALAMEA</t>
  </si>
  <si>
    <t>5-C</t>
  </si>
  <si>
    <t>SRA. MARCIA DE KOCH</t>
  </si>
  <si>
    <t>6-A</t>
  </si>
  <si>
    <t>JONATHAN MACIAS</t>
  </si>
  <si>
    <t>6-B</t>
  </si>
  <si>
    <t xml:space="preserve">SRA. LAURA PROAÑO </t>
  </si>
  <si>
    <t>6-C</t>
  </si>
  <si>
    <t>SRA. TRILY LEDERGERBER</t>
  </si>
  <si>
    <t>7-A</t>
  </si>
  <si>
    <t>DIAZ HIDALGO YONEL</t>
  </si>
  <si>
    <t>7-B</t>
  </si>
  <si>
    <t>DR. KLEBER MEJIA FALCONES</t>
  </si>
  <si>
    <t>7-C</t>
  </si>
  <si>
    <t>DR. JUAN MARENGO</t>
  </si>
  <si>
    <t>8-A</t>
  </si>
  <si>
    <t>8-B</t>
  </si>
  <si>
    <t>DRA. CARRILLO GALVEZ</t>
  </si>
  <si>
    <t>8-C</t>
  </si>
  <si>
    <t>ING. PEDRO ALVAREZ C.</t>
  </si>
  <si>
    <t>9-A</t>
  </si>
  <si>
    <t>SR. WILSON MALO</t>
  </si>
  <si>
    <t>9-B</t>
  </si>
  <si>
    <t>PATRICIA REVELLO</t>
  </si>
  <si>
    <t>9-C</t>
  </si>
  <si>
    <t>SR. JOSE PLAZA</t>
  </si>
  <si>
    <t>10-A</t>
  </si>
  <si>
    <t>PATRICIA BERTINY MEDINA</t>
  </si>
  <si>
    <t>10-B</t>
  </si>
  <si>
    <t>SR. GERARDO FLORENTINO</t>
  </si>
  <si>
    <t>10-C</t>
  </si>
  <si>
    <t>SR. FERNANDO CHERREZ C.</t>
  </si>
  <si>
    <t>DETALLE DEL REMBOLSO DE MARZO 2026</t>
  </si>
  <si>
    <t>ADMINISTRACION CONTABILIDAD</t>
  </si>
  <si>
    <t>SUELDO DE EMPLEADOS MES DE  MAR./2026</t>
  </si>
  <si>
    <t>PROVISION DECIMO TERCERO  MAR./2026</t>
  </si>
  <si>
    <t>PROVISION FONDO DE RESERVA  MAR./2026</t>
  </si>
  <si>
    <t>PROVISION VACACIONES  MAR./2026</t>
  </si>
  <si>
    <t>PROVISION DECIMO CUARTO  MAR./2026</t>
  </si>
  <si>
    <t>APORTE PATRONAL MES DE  MAR./2026</t>
  </si>
  <si>
    <t>PLANILLA DE LUZ CONSUMO  FEB./2026</t>
  </si>
  <si>
    <t>PLANILLA TELEFONICA</t>
  </si>
  <si>
    <t>MANTENIMIENTO DE ASCENSORES MAR./2026</t>
  </si>
  <si>
    <t>PROVISION ALICUOTAS INCOBRABLES MAR./2026</t>
  </si>
  <si>
    <t>PROVISION DE CAPITAL MES DE  MAR./2026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</si>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</sst>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 * #,##0.00_ ;_ * \-#,##0.00_ ;_ * &quot;-&quot;??_ ;_ @_ "/>
    <numFmt numFmtId="165" formatCode="_(&quot;$&quot;* #,##0.00_);_(&quot;$&quot;* \(#,##0.00\);_(&quot;$&quot;* &quot;-&quot;??_);_(@_)"/>
  </numFmts>
  <fonts count="8">
    <font>
      <sz val="11.0"/>
      <color theme="1"/>
      <name val="Calibri"/>
      <scheme val="minor"/>
    </font>
    <font>
      <b/>
      <sz val="18.0"/>
      <color theme="1"/>
      <name val="Calibri"/>
    </font>
    <font/>
    <font>
      <sz val="10.0"/>
      <color theme="1"/>
      <name val="Calibri"/>
    </font>
    <font>
      <sz val="11.0"/>
      <color theme="1"/>
      <name val="Calibri"/>
    </font>
    <font>
      <b/>
      <sz val="16.0"/>
      <color theme="1"/>
      <name val="Calibri"/>
    </font>
    <font>
      <color theme="1"/>
      <name val="Calibri"/>
      <scheme val="minor"/>
    </font>
    <font>
      <b/>
      <sz val="14.0"/>
      <color theme="1"/>
      <name val="Calibri"/>
    </font>
  </fonts>
  <fills count="2">
    <fill>
      <patternFill patternType="none"/>
    </fill>
    <fill>
      <patternFill patternType="lightGray"/>
    </fill>
  </fills>
  <borders count="18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Border="1" applyFont="1"/>
    <xf borderId="5" fillId="0" fontId="3" numFmtId="0" xfId="0" applyBorder="1" applyFont="1"/>
    <xf borderId="5" fillId="0" fontId="3" numFmtId="0" xfId="0" applyAlignment="1" applyBorder="1" applyFont="1">
      <alignment horizontal="center"/>
    </xf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8" fillId="0" fontId="3" numFmtId="0" xfId="0" applyAlignment="1" applyBorder="1" applyFont="1">
      <alignment horizontal="center"/>
    </xf>
    <xf borderId="9" fillId="0" fontId="3" numFmtId="0" xfId="0" applyAlignment="1" applyBorder="1" applyFont="1">
      <alignment horizontal="right"/>
    </xf>
    <xf borderId="10" fillId="0" fontId="4" numFmtId="0" xfId="0" applyBorder="1" applyFont="1"/>
    <xf borderId="8" fillId="0" fontId="4" numFmtId="0" xfId="0" applyBorder="1" applyFont="1"/>
    <xf borderId="8" fillId="0" fontId="4" numFmtId="2" xfId="0" applyBorder="1" applyFont="1" applyNumberFormat="1"/>
    <xf borderId="8" fillId="0" fontId="4" numFmtId="1" xfId="0" applyBorder="1" applyFont="1" applyNumberFormat="1"/>
    <xf borderId="11" fillId="0" fontId="4" numFmtId="1" xfId="0" applyBorder="1" applyFont="1" applyNumberFormat="1"/>
    <xf borderId="12" fillId="0" fontId="4" numFmtId="2" xfId="0" applyBorder="1" applyFont="1" applyNumberFormat="1"/>
    <xf borderId="10" fillId="0" fontId="4" numFmtId="0" xfId="0" applyAlignment="1" applyBorder="1" applyFont="1">
      <alignment readingOrder="0"/>
    </xf>
    <xf borderId="8" fillId="0" fontId="4" numFmtId="0" xfId="0" applyAlignment="1" applyBorder="1" applyFont="1">
      <alignment readingOrder="0"/>
    </xf>
    <xf borderId="0" fillId="0" fontId="4" numFmtId="2" xfId="0" applyFont="1" applyNumberFormat="1"/>
    <xf borderId="11" fillId="0" fontId="4" numFmtId="2" xfId="0" applyBorder="1" applyFont="1" applyNumberFormat="1"/>
    <xf borderId="10" fillId="0" fontId="4" numFmtId="0" xfId="0" applyAlignment="1" applyBorder="1" applyFont="1">
      <alignment horizontal="left"/>
    </xf>
    <xf borderId="7" fillId="0" fontId="4" numFmtId="0" xfId="0" applyBorder="1" applyFont="1"/>
    <xf borderId="13" fillId="0" fontId="4" numFmtId="0" xfId="0" applyBorder="1" applyFont="1"/>
    <xf borderId="14" fillId="0" fontId="4" numFmtId="0" xfId="0" applyBorder="1" applyFont="1"/>
    <xf borderId="15" fillId="0" fontId="4" numFmtId="2" xfId="0" applyBorder="1" applyFont="1" applyNumberFormat="1"/>
    <xf borderId="14" fillId="0" fontId="4" numFmtId="1" xfId="0" applyBorder="1" applyFont="1" applyNumberFormat="1"/>
    <xf borderId="16" fillId="0" fontId="4" numFmtId="1" xfId="0" applyBorder="1" applyFont="1" applyNumberFormat="1"/>
    <xf borderId="0" fillId="0" fontId="5" numFmtId="0" xfId="0" applyAlignment="1" applyFont="1">
      <alignment horizontal="center"/>
    </xf>
    <xf borderId="0" fillId="0" fontId="6" numFmtId="0" xfId="0" applyFont="1"/>
    <xf borderId="0" fillId="0" fontId="4" numFmtId="164" xfId="0" applyFont="1" applyNumberFormat="1"/>
    <xf borderId="0" fillId="0" fontId="4" numFmtId="165" xfId="0" applyFont="1" applyNumberFormat="1"/>
    <xf borderId="0" fillId="0" fontId="4" numFmtId="9" xfId="0" applyFont="1" applyNumberFormat="1"/>
    <xf borderId="17" fillId="0" fontId="7" numFmtId="0" xfId="0" applyBorder="1" applyFont="1"/>
    <xf borderId="15" fillId="0" fontId="7" numFmtId="2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9.57"/>
    <col customWidth="1" min="3" max="3" width="8.57"/>
    <col customWidth="1" min="4" max="4" width="8.29"/>
    <col customWidth="1" min="5" max="5" width="8.71"/>
    <col customWidth="1" min="6" max="6" width="7.57"/>
    <col customWidth="1" min="7" max="7" width="5.43"/>
    <col customWidth="1" min="8" max="8" width="6.14"/>
    <col customWidth="1" min="9" max="9" width="7.71"/>
    <col customWidth="1" min="10" max="26" width="10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>
      <c r="A2" s="4"/>
      <c r="B2" s="5"/>
      <c r="C2" s="5"/>
      <c r="D2" s="5"/>
      <c r="E2" s="5" t="s">
        <v>1</v>
      </c>
      <c r="F2" s="6" t="s">
        <v>1</v>
      </c>
      <c r="G2" s="6" t="s">
        <v>2</v>
      </c>
      <c r="H2" s="6" t="s">
        <v>2</v>
      </c>
      <c r="I2" s="6"/>
      <c r="J2" s="7"/>
    </row>
    <row r="3">
      <c r="A3" s="8" t="s">
        <v>3</v>
      </c>
      <c r="B3" s="9" t="s">
        <v>4</v>
      </c>
      <c r="C3" s="10" t="s">
        <v>5</v>
      </c>
      <c r="D3" s="10" t="s">
        <v>6</v>
      </c>
      <c r="E3" s="10" t="s">
        <v>7</v>
      </c>
      <c r="F3" s="10" t="s">
        <v>8</v>
      </c>
      <c r="G3" s="10"/>
      <c r="H3" s="10" t="s">
        <v>6</v>
      </c>
      <c r="I3" s="10"/>
      <c r="J3" s="11" t="s">
        <v>9</v>
      </c>
    </row>
    <row r="4">
      <c r="A4" s="12" t="s">
        <v>10</v>
      </c>
      <c r="B4" s="13" t="s">
        <v>11</v>
      </c>
      <c r="C4" s="13">
        <v>0.65</v>
      </c>
      <c r="D4" s="14">
        <f>SUM(MAR!$C$14*C4/100)</f>
        <v>33.799155</v>
      </c>
      <c r="E4" s="13">
        <v>59.0</v>
      </c>
      <c r="F4" s="13">
        <v>63.0</v>
      </c>
      <c r="G4" s="13">
        <f t="shared" ref="G4:G7" si="1">SUM(F4-E4)</f>
        <v>4</v>
      </c>
      <c r="H4" s="15">
        <f t="shared" ref="H4:H7" si="2">SUM(G4)+5</f>
        <v>9</v>
      </c>
      <c r="I4" s="16"/>
      <c r="J4" s="17">
        <f>SUM(D4+H4)</f>
        <v>42.799155</v>
      </c>
    </row>
    <row r="5">
      <c r="A5" s="12" t="s">
        <v>12</v>
      </c>
      <c r="B5" s="13" t="s">
        <v>13</v>
      </c>
      <c r="C5" s="13">
        <v>4.89</v>
      </c>
      <c r="D5" s="14">
        <f>SUM(MAR!$C$14*C5/100)</f>
        <v>254.273643</v>
      </c>
      <c r="E5" s="13">
        <v>2169.0</v>
      </c>
      <c r="F5" s="13">
        <v>2169.0</v>
      </c>
      <c r="G5" s="13">
        <f t="shared" si="1"/>
        <v>0</v>
      </c>
      <c r="H5" s="15">
        <f t="shared" si="2"/>
        <v>5</v>
      </c>
      <c r="I5" s="16"/>
      <c r="J5" s="17">
        <f t="shared" ref="J5:J6" si="3">SUM(D5+I5+H5)</f>
        <v>259.273643</v>
      </c>
    </row>
    <row r="6">
      <c r="A6" s="12" t="s">
        <v>14</v>
      </c>
      <c r="B6" s="13" t="s">
        <v>15</v>
      </c>
      <c r="C6" s="13">
        <v>2.52</v>
      </c>
      <c r="D6" s="14">
        <f>SUM(MAR!$C$14*C6/100)</f>
        <v>131.036724</v>
      </c>
      <c r="E6" s="13">
        <v>1733.0</v>
      </c>
      <c r="F6" s="13">
        <v>1740.0</v>
      </c>
      <c r="G6" s="13">
        <f t="shared" si="1"/>
        <v>7</v>
      </c>
      <c r="H6" s="15">
        <f t="shared" si="2"/>
        <v>12</v>
      </c>
      <c r="I6" s="16"/>
      <c r="J6" s="17">
        <f t="shared" si="3"/>
        <v>143.036724</v>
      </c>
    </row>
    <row r="7">
      <c r="A7" s="12" t="s">
        <v>16</v>
      </c>
      <c r="B7" s="13" t="s">
        <v>17</v>
      </c>
      <c r="C7" s="13">
        <v>1.63</v>
      </c>
      <c r="D7" s="14">
        <f>SUM(MAR!$C$14*C7/100)</f>
        <v>84.757881</v>
      </c>
      <c r="E7" s="13">
        <v>565.0</v>
      </c>
      <c r="F7" s="13">
        <v>585.0</v>
      </c>
      <c r="G7" s="13">
        <f t="shared" si="1"/>
        <v>20</v>
      </c>
      <c r="H7" s="15">
        <f t="shared" si="2"/>
        <v>25</v>
      </c>
      <c r="I7" s="16"/>
      <c r="J7" s="17">
        <f>SUM(D7+H7+I7)</f>
        <v>109.757881</v>
      </c>
    </row>
    <row r="8">
      <c r="A8" s="18" t="s">
        <v>18</v>
      </c>
      <c r="B8" s="13" t="s">
        <v>19</v>
      </c>
      <c r="C8" s="19">
        <v>2.0</v>
      </c>
      <c r="D8" s="14">
        <f>SUM(MAR!$C$14*C8/100)</f>
        <v>103.9974</v>
      </c>
      <c r="E8" s="13">
        <v>565.0</v>
      </c>
      <c r="F8" s="13"/>
      <c r="G8" s="13"/>
      <c r="H8" s="15"/>
      <c r="I8" s="16"/>
      <c r="J8" s="17"/>
    </row>
    <row r="9">
      <c r="A9" s="18" t="s">
        <v>20</v>
      </c>
      <c r="B9" s="13" t="s">
        <v>19</v>
      </c>
      <c r="C9" s="19">
        <v>4.52</v>
      </c>
      <c r="D9" s="14">
        <f>SUM(MAR!$C$14*C9/100)</f>
        <v>235.034124</v>
      </c>
      <c r="E9" s="13">
        <v>1912.0</v>
      </c>
      <c r="F9" s="13">
        <v>1918.0</v>
      </c>
      <c r="G9" s="13">
        <f t="shared" ref="G9:G37" si="4">SUM(F9-E9)</f>
        <v>6</v>
      </c>
      <c r="H9" s="15">
        <f t="shared" ref="H9:H37" si="5">SUM(G9)+5</f>
        <v>11</v>
      </c>
      <c r="I9" s="16"/>
      <c r="J9" s="17">
        <f>SUM(D9+H9+I9)</f>
        <v>246.034124</v>
      </c>
    </row>
    <row r="10">
      <c r="A10" s="12" t="s">
        <v>21</v>
      </c>
      <c r="B10" s="13" t="s">
        <v>22</v>
      </c>
      <c r="C10" s="13">
        <v>2.52</v>
      </c>
      <c r="D10" s="14">
        <f>SUM(MAR!$C$14*C10/100)</f>
        <v>131.036724</v>
      </c>
      <c r="E10" s="13">
        <v>144.0</v>
      </c>
      <c r="F10" s="13">
        <v>145.0</v>
      </c>
      <c r="G10" s="13">
        <f t="shared" si="4"/>
        <v>1</v>
      </c>
      <c r="H10" s="15">
        <f t="shared" si="5"/>
        <v>6</v>
      </c>
      <c r="I10" s="16"/>
      <c r="J10" s="17">
        <f>SUM(D10+H10)</f>
        <v>137.036724</v>
      </c>
    </row>
    <row r="11">
      <c r="A11" s="12" t="s">
        <v>23</v>
      </c>
      <c r="B11" s="13" t="s">
        <v>24</v>
      </c>
      <c r="C11" s="13">
        <v>3.22</v>
      </c>
      <c r="D11" s="14">
        <f>SUM(MAR!$C$14*C11/100)</f>
        <v>167.435814</v>
      </c>
      <c r="E11" s="13">
        <v>1199.0</v>
      </c>
      <c r="F11" s="13">
        <v>1215.0</v>
      </c>
      <c r="G11" s="13">
        <f t="shared" si="4"/>
        <v>16</v>
      </c>
      <c r="H11" s="15">
        <f t="shared" si="5"/>
        <v>21</v>
      </c>
      <c r="I11" s="16"/>
      <c r="J11" s="17">
        <f t="shared" ref="J11:J37" si="6">SUM(D11+H11+I11)</f>
        <v>188.435814</v>
      </c>
    </row>
    <row r="12">
      <c r="A12" s="12" t="s">
        <v>25</v>
      </c>
      <c r="B12" s="13" t="s">
        <v>26</v>
      </c>
      <c r="C12" s="13">
        <v>2.52</v>
      </c>
      <c r="D12" s="14">
        <f>SUM(MAR!$C$14*C12/100)</f>
        <v>131.036724</v>
      </c>
      <c r="E12" s="13">
        <v>21.0</v>
      </c>
      <c r="F12" s="13">
        <v>21.0</v>
      </c>
      <c r="G12" s="13">
        <f t="shared" si="4"/>
        <v>0</v>
      </c>
      <c r="H12" s="15">
        <f t="shared" si="5"/>
        <v>5</v>
      </c>
      <c r="I12" s="16"/>
      <c r="J12" s="17">
        <f t="shared" si="6"/>
        <v>136.036724</v>
      </c>
    </row>
    <row r="13">
      <c r="A13" s="12" t="s">
        <v>27</v>
      </c>
      <c r="B13" s="13" t="s">
        <v>28</v>
      </c>
      <c r="C13" s="13">
        <v>1.61</v>
      </c>
      <c r="D13" s="14">
        <f>SUM(MAR!$C$14*C13/100)</f>
        <v>83.717907</v>
      </c>
      <c r="E13" s="13">
        <v>397.0</v>
      </c>
      <c r="F13" s="13">
        <v>397.0</v>
      </c>
      <c r="G13" s="13">
        <f t="shared" si="4"/>
        <v>0</v>
      </c>
      <c r="H13" s="15">
        <f t="shared" si="5"/>
        <v>5</v>
      </c>
      <c r="I13" s="16"/>
      <c r="J13" s="17">
        <f t="shared" si="6"/>
        <v>88.717907</v>
      </c>
    </row>
    <row r="14">
      <c r="A14" s="12" t="s">
        <v>29</v>
      </c>
      <c r="B14" s="13" t="s">
        <v>30</v>
      </c>
      <c r="C14" s="13">
        <v>1.63</v>
      </c>
      <c r="D14" s="14">
        <f>SUM(MAR!$C$14*C14/100)</f>
        <v>84.757881</v>
      </c>
      <c r="E14" s="13">
        <v>72.0</v>
      </c>
      <c r="F14" s="13">
        <v>72.0</v>
      </c>
      <c r="G14" s="13">
        <f t="shared" si="4"/>
        <v>0</v>
      </c>
      <c r="H14" s="15">
        <f t="shared" si="5"/>
        <v>5</v>
      </c>
      <c r="I14" s="16"/>
      <c r="J14" s="17">
        <f t="shared" si="6"/>
        <v>89.757881</v>
      </c>
    </row>
    <row r="15">
      <c r="A15" s="12" t="s">
        <v>31</v>
      </c>
      <c r="B15" s="13" t="s">
        <v>32</v>
      </c>
      <c r="C15" s="13">
        <v>3.22</v>
      </c>
      <c r="D15" s="14">
        <f>SUM(MAR!$C$14*C15/100)</f>
        <v>167.435814</v>
      </c>
      <c r="E15" s="13">
        <v>384.0</v>
      </c>
      <c r="F15" s="13">
        <v>384.0</v>
      </c>
      <c r="G15" s="13">
        <f t="shared" si="4"/>
        <v>0</v>
      </c>
      <c r="H15" s="15">
        <f t="shared" si="5"/>
        <v>5</v>
      </c>
      <c r="I15" s="16"/>
      <c r="J15" s="17">
        <f t="shared" si="6"/>
        <v>172.435814</v>
      </c>
    </row>
    <row r="16">
      <c r="A16" s="12" t="s">
        <v>33</v>
      </c>
      <c r="B16" s="13" t="s">
        <v>34</v>
      </c>
      <c r="C16" s="13">
        <v>2.52</v>
      </c>
      <c r="D16" s="14">
        <f>SUM(MAR!$C$14*C16/100)</f>
        <v>131.036724</v>
      </c>
      <c r="E16" s="13">
        <v>865.0</v>
      </c>
      <c r="F16" s="13">
        <v>865.0</v>
      </c>
      <c r="G16" s="13">
        <f t="shared" si="4"/>
        <v>0</v>
      </c>
      <c r="H16" s="15">
        <f t="shared" si="5"/>
        <v>5</v>
      </c>
      <c r="I16" s="16"/>
      <c r="J16" s="17">
        <f t="shared" si="6"/>
        <v>136.036724</v>
      </c>
    </row>
    <row r="17">
      <c r="A17" s="12" t="s">
        <v>35</v>
      </c>
      <c r="B17" s="13" t="s">
        <v>36</v>
      </c>
      <c r="C17" s="13">
        <v>1.61</v>
      </c>
      <c r="D17" s="14">
        <f>SUM(MAR!$C$14*C17/100)</f>
        <v>83.717907</v>
      </c>
      <c r="E17" s="13">
        <v>107.0</v>
      </c>
      <c r="F17" s="13">
        <v>107.0</v>
      </c>
      <c r="G17" s="13">
        <f t="shared" si="4"/>
        <v>0</v>
      </c>
      <c r="H17" s="15">
        <f t="shared" si="5"/>
        <v>5</v>
      </c>
      <c r="I17" s="16"/>
      <c r="J17" s="17">
        <f t="shared" si="6"/>
        <v>88.717907</v>
      </c>
    </row>
    <row r="18">
      <c r="A18" s="12" t="s">
        <v>37</v>
      </c>
      <c r="B18" s="13" t="s">
        <v>38</v>
      </c>
      <c r="C18" s="13">
        <v>1.63</v>
      </c>
      <c r="D18" s="14">
        <f>SUM(MAR!$C$14*C18/100)</f>
        <v>84.757881</v>
      </c>
      <c r="E18" s="13">
        <v>67.0</v>
      </c>
      <c r="F18" s="13">
        <v>67.0</v>
      </c>
      <c r="G18" s="13">
        <f t="shared" si="4"/>
        <v>0</v>
      </c>
      <c r="H18" s="15">
        <f t="shared" si="5"/>
        <v>5</v>
      </c>
      <c r="I18" s="16"/>
      <c r="J18" s="17">
        <f t="shared" si="6"/>
        <v>89.757881</v>
      </c>
    </row>
    <row r="19">
      <c r="A19" s="12" t="s">
        <v>39</v>
      </c>
      <c r="B19" s="13" t="s">
        <v>40</v>
      </c>
      <c r="C19" s="13">
        <v>3.22</v>
      </c>
      <c r="D19" s="14">
        <f>SUM(MAR!$C$14*C19/100)</f>
        <v>167.435814</v>
      </c>
      <c r="E19" s="13">
        <v>809.0</v>
      </c>
      <c r="F19" s="13">
        <v>809.0</v>
      </c>
      <c r="G19" s="13">
        <f t="shared" si="4"/>
        <v>0</v>
      </c>
      <c r="H19" s="15">
        <f t="shared" si="5"/>
        <v>5</v>
      </c>
      <c r="I19" s="16"/>
      <c r="J19" s="17">
        <f t="shared" si="6"/>
        <v>172.435814</v>
      </c>
    </row>
    <row r="20">
      <c r="A20" s="12" t="s">
        <v>41</v>
      </c>
      <c r="B20" s="13" t="s">
        <v>42</v>
      </c>
      <c r="C20" s="13">
        <v>2.52</v>
      </c>
      <c r="D20" s="14">
        <f>SUM(MAR!$C$14*C20/100)</f>
        <v>131.036724</v>
      </c>
      <c r="E20" s="13">
        <v>653.0</v>
      </c>
      <c r="F20" s="13">
        <v>653.0</v>
      </c>
      <c r="G20" s="13">
        <f t="shared" si="4"/>
        <v>0</v>
      </c>
      <c r="H20" s="15">
        <f t="shared" si="5"/>
        <v>5</v>
      </c>
      <c r="I20" s="16"/>
      <c r="J20" s="17">
        <f t="shared" si="6"/>
        <v>136.036724</v>
      </c>
    </row>
    <row r="21">
      <c r="A21" s="12" t="s">
        <v>43</v>
      </c>
      <c r="B21" s="13" t="s">
        <v>44</v>
      </c>
      <c r="C21" s="13">
        <v>3.27</v>
      </c>
      <c r="D21" s="14">
        <f>SUM(MAR!$C$14*C21/100)</f>
        <v>170.035749</v>
      </c>
      <c r="E21" s="13">
        <v>170.0</v>
      </c>
      <c r="F21" s="13">
        <v>170.0</v>
      </c>
      <c r="G21" s="13">
        <f t="shared" si="4"/>
        <v>0</v>
      </c>
      <c r="H21" s="15">
        <f t="shared" si="5"/>
        <v>5</v>
      </c>
      <c r="I21" s="16"/>
      <c r="J21" s="17">
        <f t="shared" si="6"/>
        <v>175.035749</v>
      </c>
    </row>
    <row r="22" ht="15.75" customHeight="1">
      <c r="A22" s="12" t="s">
        <v>45</v>
      </c>
      <c r="B22" s="13" t="s">
        <v>46</v>
      </c>
      <c r="C22" s="13">
        <v>3.22</v>
      </c>
      <c r="D22" s="14">
        <f>SUM(MAR!$C$14*C22/100)</f>
        <v>167.435814</v>
      </c>
      <c r="E22" s="13">
        <v>155.0</v>
      </c>
      <c r="F22" s="13">
        <v>176.0</v>
      </c>
      <c r="G22" s="13">
        <f t="shared" si="4"/>
        <v>21</v>
      </c>
      <c r="H22" s="15">
        <f t="shared" si="5"/>
        <v>26</v>
      </c>
      <c r="I22" s="16"/>
      <c r="J22" s="17">
        <f t="shared" si="6"/>
        <v>193.435814</v>
      </c>
    </row>
    <row r="23" ht="15.75" customHeight="1">
      <c r="A23" s="12" t="s">
        <v>47</v>
      </c>
      <c r="B23" s="13" t="s">
        <v>48</v>
      </c>
      <c r="C23" s="13">
        <v>2.52</v>
      </c>
      <c r="D23" s="14">
        <f>SUM(MAR!$C$14*C23/100)</f>
        <v>131.036724</v>
      </c>
      <c r="E23" s="13">
        <v>568.0</v>
      </c>
      <c r="F23" s="13">
        <v>574.0</v>
      </c>
      <c r="G23" s="13">
        <f t="shared" si="4"/>
        <v>6</v>
      </c>
      <c r="H23" s="15">
        <f t="shared" si="5"/>
        <v>11</v>
      </c>
      <c r="I23" s="16"/>
      <c r="J23" s="17">
        <f t="shared" si="6"/>
        <v>142.036724</v>
      </c>
    </row>
    <row r="24" ht="15.75" customHeight="1">
      <c r="A24" s="12" t="s">
        <v>49</v>
      </c>
      <c r="B24" s="13" t="s">
        <v>50</v>
      </c>
      <c r="C24" s="13">
        <v>3.27</v>
      </c>
      <c r="D24" s="14">
        <f>SUM(MAR!$C$14*C24/100)</f>
        <v>170.035749</v>
      </c>
      <c r="E24" s="13">
        <v>2240.0</v>
      </c>
      <c r="F24" s="13">
        <v>2242.0</v>
      </c>
      <c r="G24" s="13">
        <f t="shared" si="4"/>
        <v>2</v>
      </c>
      <c r="H24" s="15">
        <f t="shared" si="5"/>
        <v>7</v>
      </c>
      <c r="I24" s="16"/>
      <c r="J24" s="17">
        <f t="shared" si="6"/>
        <v>177.035749</v>
      </c>
    </row>
    <row r="25" ht="15.75" customHeight="1">
      <c r="A25" s="12" t="s">
        <v>51</v>
      </c>
      <c r="B25" s="13" t="s">
        <v>52</v>
      </c>
      <c r="C25" s="13">
        <v>4.89</v>
      </c>
      <c r="D25" s="14">
        <f>SUM(MAR!$C$14*C25/100)</f>
        <v>254.273643</v>
      </c>
      <c r="E25" s="13">
        <v>549.0</v>
      </c>
      <c r="F25" s="13">
        <v>549.0</v>
      </c>
      <c r="G25" s="13">
        <f t="shared" si="4"/>
        <v>0</v>
      </c>
      <c r="H25" s="15">
        <f t="shared" si="5"/>
        <v>5</v>
      </c>
      <c r="I25" s="16"/>
      <c r="J25" s="17">
        <f t="shared" si="6"/>
        <v>259.273643</v>
      </c>
    </row>
    <row r="26" ht="15.75" customHeight="1">
      <c r="A26" s="12" t="s">
        <v>53</v>
      </c>
      <c r="B26" s="13" t="s">
        <v>54</v>
      </c>
      <c r="C26" s="13">
        <v>2.52</v>
      </c>
      <c r="D26" s="14">
        <f>SUM(MAR!$C$14*C26/100)</f>
        <v>131.036724</v>
      </c>
      <c r="E26" s="13">
        <v>281.0</v>
      </c>
      <c r="F26" s="13">
        <v>281.0</v>
      </c>
      <c r="G26" s="13">
        <f t="shared" si="4"/>
        <v>0</v>
      </c>
      <c r="H26" s="15">
        <f t="shared" si="5"/>
        <v>5</v>
      </c>
      <c r="I26" s="16"/>
      <c r="J26" s="17">
        <f t="shared" si="6"/>
        <v>136.036724</v>
      </c>
    </row>
    <row r="27" ht="15.75" customHeight="1">
      <c r="A27" s="12" t="s">
        <v>55</v>
      </c>
      <c r="B27" s="13" t="s">
        <v>56</v>
      </c>
      <c r="C27" s="13">
        <v>1.63</v>
      </c>
      <c r="D27" s="14">
        <f>SUM(MAR!$C$14*C27/100)</f>
        <v>84.757881</v>
      </c>
      <c r="E27" s="13">
        <v>3215.0</v>
      </c>
      <c r="F27" s="13">
        <v>3215.0</v>
      </c>
      <c r="G27" s="13">
        <f t="shared" si="4"/>
        <v>0</v>
      </c>
      <c r="H27" s="15">
        <f t="shared" si="5"/>
        <v>5</v>
      </c>
      <c r="I27" s="16"/>
      <c r="J27" s="17">
        <f t="shared" si="6"/>
        <v>89.757881</v>
      </c>
      <c r="M27" s="20"/>
    </row>
    <row r="28" ht="15.75" customHeight="1">
      <c r="A28" s="12" t="s">
        <v>57</v>
      </c>
      <c r="B28" s="13" t="s">
        <v>42</v>
      </c>
      <c r="C28" s="13">
        <v>4.89</v>
      </c>
      <c r="D28" s="14">
        <f>SUM(MAR!$C$14*C28/100)</f>
        <v>254.273643</v>
      </c>
      <c r="E28" s="13">
        <v>42.0</v>
      </c>
      <c r="F28" s="13">
        <v>43.0</v>
      </c>
      <c r="G28" s="13">
        <f t="shared" si="4"/>
        <v>1</v>
      </c>
      <c r="H28" s="15">
        <f t="shared" si="5"/>
        <v>6</v>
      </c>
      <c r="I28" s="16"/>
      <c r="J28" s="17">
        <f t="shared" si="6"/>
        <v>260.273643</v>
      </c>
      <c r="M28" s="20"/>
    </row>
    <row r="29" ht="15.75" customHeight="1">
      <c r="A29" s="12" t="s">
        <v>58</v>
      </c>
      <c r="B29" s="13" t="s">
        <v>59</v>
      </c>
      <c r="C29" s="13">
        <v>2.52</v>
      </c>
      <c r="D29" s="14">
        <f>SUM(MAR!$C$14*C29/100)</f>
        <v>131.036724</v>
      </c>
      <c r="E29" s="13">
        <v>18.0</v>
      </c>
      <c r="F29" s="13">
        <v>18.0</v>
      </c>
      <c r="G29" s="13">
        <f t="shared" si="4"/>
        <v>0</v>
      </c>
      <c r="H29" s="15">
        <f t="shared" si="5"/>
        <v>5</v>
      </c>
      <c r="I29" s="16"/>
      <c r="J29" s="17">
        <f t="shared" si="6"/>
        <v>136.036724</v>
      </c>
      <c r="M29" s="20"/>
    </row>
    <row r="30" ht="15.75" customHeight="1">
      <c r="A30" s="12" t="s">
        <v>60</v>
      </c>
      <c r="B30" s="13" t="s">
        <v>61</v>
      </c>
      <c r="C30" s="13">
        <v>1.63</v>
      </c>
      <c r="D30" s="14">
        <f>SUM(MAR!$C$14*C30/100)</f>
        <v>84.757881</v>
      </c>
      <c r="E30" s="13">
        <v>577.0</v>
      </c>
      <c r="F30" s="13">
        <v>577.0</v>
      </c>
      <c r="G30" s="13">
        <f t="shared" si="4"/>
        <v>0</v>
      </c>
      <c r="H30" s="15">
        <f t="shared" si="5"/>
        <v>5</v>
      </c>
      <c r="I30" s="16"/>
      <c r="J30" s="17">
        <f t="shared" si="6"/>
        <v>89.757881</v>
      </c>
    </row>
    <row r="31" ht="15.75" customHeight="1">
      <c r="A31" s="12" t="s">
        <v>62</v>
      </c>
      <c r="B31" s="13" t="s">
        <v>63</v>
      </c>
      <c r="C31" s="13">
        <v>4.89</v>
      </c>
      <c r="D31" s="14">
        <f>SUM(MAR!$C$14*C31/100)</f>
        <v>254.273643</v>
      </c>
      <c r="E31" s="13">
        <v>1984.0</v>
      </c>
      <c r="F31" s="13">
        <v>1984.0</v>
      </c>
      <c r="G31" s="13">
        <f t="shared" si="4"/>
        <v>0</v>
      </c>
      <c r="H31" s="15">
        <f t="shared" si="5"/>
        <v>5</v>
      </c>
      <c r="I31" s="16"/>
      <c r="J31" s="17">
        <f t="shared" si="6"/>
        <v>259.273643</v>
      </c>
    </row>
    <row r="32" ht="15.75" customHeight="1">
      <c r="A32" s="12" t="s">
        <v>64</v>
      </c>
      <c r="B32" s="13" t="s">
        <v>65</v>
      </c>
      <c r="C32" s="13">
        <v>2.52</v>
      </c>
      <c r="D32" s="14">
        <f>SUM(MAR!$C$14*C32/100)</f>
        <v>131.036724</v>
      </c>
      <c r="E32" s="13">
        <v>925.0</v>
      </c>
      <c r="F32" s="13">
        <v>925.0</v>
      </c>
      <c r="G32" s="13">
        <f t="shared" si="4"/>
        <v>0</v>
      </c>
      <c r="H32" s="15">
        <f t="shared" si="5"/>
        <v>5</v>
      </c>
      <c r="I32" s="16"/>
      <c r="J32" s="17">
        <f t="shared" si="6"/>
        <v>136.036724</v>
      </c>
    </row>
    <row r="33" ht="15.75" customHeight="1">
      <c r="A33" s="12" t="s">
        <v>66</v>
      </c>
      <c r="B33" s="13" t="s">
        <v>67</v>
      </c>
      <c r="C33" s="13">
        <v>1.63</v>
      </c>
      <c r="D33" s="14">
        <f>SUM(MAR!$C$14*C33/100)</f>
        <v>84.757881</v>
      </c>
      <c r="E33" s="13">
        <v>136.0</v>
      </c>
      <c r="F33" s="13">
        <v>136.0</v>
      </c>
      <c r="G33" s="13">
        <f t="shared" si="4"/>
        <v>0</v>
      </c>
      <c r="H33" s="15">
        <f t="shared" si="5"/>
        <v>5</v>
      </c>
      <c r="I33" s="21"/>
      <c r="J33" s="17">
        <f t="shared" si="6"/>
        <v>89.757881</v>
      </c>
    </row>
    <row r="34" ht="15.75" customHeight="1">
      <c r="A34" s="22" t="s">
        <v>68</v>
      </c>
      <c r="B34" s="13" t="s">
        <v>69</v>
      </c>
      <c r="C34" s="13">
        <v>4.89</v>
      </c>
      <c r="D34" s="14">
        <f>SUM(MAR!$C$14*C34/100)</f>
        <v>254.273643</v>
      </c>
      <c r="E34" s="13">
        <v>234.0</v>
      </c>
      <c r="F34" s="13">
        <v>234.0</v>
      </c>
      <c r="G34" s="13">
        <f t="shared" si="4"/>
        <v>0</v>
      </c>
      <c r="H34" s="15">
        <f t="shared" si="5"/>
        <v>5</v>
      </c>
      <c r="I34" s="16"/>
      <c r="J34" s="17">
        <f t="shared" si="6"/>
        <v>259.273643</v>
      </c>
      <c r="M34" s="20"/>
    </row>
    <row r="35" ht="15.75" customHeight="1">
      <c r="A35" s="22" t="s">
        <v>70</v>
      </c>
      <c r="B35" s="13" t="s">
        <v>71</v>
      </c>
      <c r="C35" s="13">
        <v>2.52</v>
      </c>
      <c r="D35" s="14">
        <f>SUM(MAR!$C$14*C35/100)</f>
        <v>131.036724</v>
      </c>
      <c r="E35" s="13">
        <v>2599.0</v>
      </c>
      <c r="F35" s="13">
        <v>2621.0</v>
      </c>
      <c r="G35" s="13">
        <f t="shared" si="4"/>
        <v>22</v>
      </c>
      <c r="H35" s="15">
        <f t="shared" si="5"/>
        <v>27</v>
      </c>
      <c r="I35" s="16"/>
      <c r="J35" s="17">
        <f t="shared" si="6"/>
        <v>158.036724</v>
      </c>
    </row>
    <row r="36" ht="15.75" customHeight="1">
      <c r="A36" s="22" t="s">
        <v>72</v>
      </c>
      <c r="B36" s="13" t="s">
        <v>71</v>
      </c>
      <c r="C36" s="13">
        <v>1.63</v>
      </c>
      <c r="D36" s="14">
        <f>SUM(MAR!$C$14*C36/100)</f>
        <v>84.757881</v>
      </c>
      <c r="E36" s="13">
        <v>44.0</v>
      </c>
      <c r="F36" s="13">
        <v>51.0</v>
      </c>
      <c r="G36" s="13">
        <f t="shared" si="4"/>
        <v>7</v>
      </c>
      <c r="H36" s="15">
        <f t="shared" si="5"/>
        <v>12</v>
      </c>
      <c r="I36" s="16"/>
      <c r="J36" s="17">
        <f t="shared" si="6"/>
        <v>96.757881</v>
      </c>
    </row>
    <row r="37" ht="15.75" customHeight="1">
      <c r="A37" s="22">
        <v>11.0</v>
      </c>
      <c r="B37" s="13" t="s">
        <v>73</v>
      </c>
      <c r="C37" s="13">
        <v>9.13</v>
      </c>
      <c r="D37" s="14">
        <f>SUM(MAR!$C$14*C37/100)</f>
        <v>474.748131</v>
      </c>
      <c r="E37" s="13">
        <v>458.0</v>
      </c>
      <c r="F37" s="13">
        <v>459.0</v>
      </c>
      <c r="G37" s="13">
        <f t="shared" si="4"/>
        <v>1</v>
      </c>
      <c r="H37" s="15">
        <f t="shared" si="5"/>
        <v>6</v>
      </c>
      <c r="I37" s="16"/>
      <c r="J37" s="17">
        <f t="shared" si="6"/>
        <v>480.748131</v>
      </c>
    </row>
    <row r="38" ht="15.75" customHeight="1">
      <c r="A38" s="23"/>
      <c r="B38" s="24"/>
      <c r="C38" s="25">
        <f t="shared" ref="C38:D38" si="7">SUM(C4:C37)</f>
        <v>100</v>
      </c>
      <c r="D38" s="26">
        <f t="shared" si="7"/>
        <v>5199.87</v>
      </c>
      <c r="E38" s="24"/>
      <c r="F38" s="24"/>
      <c r="G38" s="24">
        <f t="shared" ref="G38:H38" si="8">SUM(G4:G37)</f>
        <v>114</v>
      </c>
      <c r="H38" s="27">
        <f t="shared" si="8"/>
        <v>279</v>
      </c>
      <c r="I38" s="28"/>
      <c r="J38" s="26">
        <f>SUM(J4:J37)</f>
        <v>5374.8726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">
    <mergeCell ref="A1:J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14"/>
    <col customWidth="1" min="2" max="2" width="67.14"/>
    <col customWidth="1" min="3" max="7" width="10.71"/>
    <col customWidth="1" min="8" max="8" width="11.86"/>
    <col customWidth="1" min="9" max="26" width="10.71"/>
  </cols>
  <sheetData>
    <row r="1">
      <c r="B1" s="29" t="s">
        <v>74</v>
      </c>
    </row>
    <row r="2">
      <c r="B2" s="30" t="s">
        <v>75</v>
      </c>
      <c r="C2" s="20">
        <v>130.0</v>
      </c>
    </row>
    <row r="3" ht="19.5" customHeight="1">
      <c r="B3" s="30" t="s">
        <v>76</v>
      </c>
      <c r="C3" s="20">
        <v>2524.0</v>
      </c>
      <c r="E3" s="20"/>
      <c r="G3" s="31"/>
    </row>
    <row r="4" ht="19.5" customHeight="1">
      <c r="B4" s="30" t="s">
        <v>77</v>
      </c>
      <c r="C4" s="20">
        <v>210.35</v>
      </c>
      <c r="E4" s="20"/>
      <c r="G4" s="31"/>
      <c r="H4" s="20"/>
    </row>
    <row r="5" ht="19.5" customHeight="1">
      <c r="B5" s="30" t="s">
        <v>78</v>
      </c>
      <c r="C5" s="20">
        <v>210.27</v>
      </c>
      <c r="E5" s="20"/>
      <c r="G5" s="31"/>
      <c r="H5" s="20"/>
    </row>
    <row r="6" ht="19.5" customHeight="1">
      <c r="B6" s="30" t="s">
        <v>79</v>
      </c>
      <c r="C6" s="20">
        <v>105.18</v>
      </c>
      <c r="E6" s="20"/>
      <c r="G6" s="31"/>
    </row>
    <row r="7" ht="19.5" customHeight="1">
      <c r="B7" s="30" t="s">
        <v>80</v>
      </c>
      <c r="C7" s="20">
        <v>200.85</v>
      </c>
      <c r="E7" s="20"/>
      <c r="G7" s="31"/>
      <c r="H7" s="20"/>
    </row>
    <row r="8" ht="19.5" customHeight="1">
      <c r="B8" s="30" t="s">
        <v>81</v>
      </c>
      <c r="C8" s="20">
        <v>306.69</v>
      </c>
      <c r="E8" s="20"/>
    </row>
    <row r="9" ht="19.5" customHeight="1">
      <c r="B9" s="30" t="s">
        <v>82</v>
      </c>
      <c r="C9" s="20">
        <v>109.46</v>
      </c>
      <c r="D9" s="20"/>
      <c r="G9" s="31"/>
      <c r="H9" s="20"/>
    </row>
    <row r="10" ht="19.5" customHeight="1">
      <c r="B10" s="30" t="s">
        <v>83</v>
      </c>
      <c r="C10" s="20">
        <v>10.2</v>
      </c>
    </row>
    <row r="11" ht="19.5" customHeight="1">
      <c r="B11" s="30" t="s">
        <v>84</v>
      </c>
      <c r="C11" s="20">
        <v>533.46</v>
      </c>
    </row>
    <row r="12" ht="19.5" customHeight="1">
      <c r="B12" s="30" t="s">
        <v>85</v>
      </c>
      <c r="C12" s="20">
        <v>78.13</v>
      </c>
      <c r="F12" s="32"/>
    </row>
    <row r="13" ht="19.5" customHeight="1">
      <c r="B13" s="30" t="s">
        <v>86</v>
      </c>
      <c r="C13" s="20">
        <v>781.28</v>
      </c>
      <c r="F13" s="33"/>
    </row>
    <row r="14">
      <c r="B14" s="34" t="s">
        <v>87</v>
      </c>
      <c r="C14" s="35">
        <f>SUM(C2:C13)</f>
        <v>5199.87</v>
      </c>
    </row>
    <row r="17">
      <c r="C17" s="2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C1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2015-11-17T23:58:32Z</dcterms:created>
  <dc:creator>MELANY VEGA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1fe2c1fb-134a-45ea-b596-55f8413e852b</vt:lpwstr>
  </property>
</Properties>
</file>